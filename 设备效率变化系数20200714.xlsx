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juncheng/Library/Mobile Documents/com~apple~CloudDocs/SPERI工作相关文件/计算软件开发/1.内燃机分布式能源负荷分析计算程序/内燃机分布式能源负荷分析计算程序/"/>
    </mc:Choice>
  </mc:AlternateContent>
  <xr:revisionPtr revIDLastSave="0" documentId="13_ncr:1_{FF1E6242-4B29-024D-9552-108FD3655073}" xr6:coauthVersionLast="45" xr6:coauthVersionMax="45" xr10:uidLastSave="{00000000-0000-0000-0000-000000000000}"/>
  <bookViews>
    <workbookView xWindow="0" yWindow="460" windowWidth="28800" windowHeight="16080" xr2:uid="{2BAADAA4-0516-F543-B06D-482172AB5A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9" i="1" l="1"/>
  <c r="C50" i="1"/>
  <c r="C51" i="1"/>
  <c r="C52" i="1"/>
  <c r="C53" i="1"/>
  <c r="C54" i="1"/>
  <c r="C55" i="1"/>
  <c r="C56" i="1"/>
  <c r="C57" i="1"/>
  <c r="C58" i="1"/>
  <c r="C101" i="1" l="1"/>
  <c r="C102" i="1"/>
  <c r="C103" i="1"/>
  <c r="C104" i="1"/>
  <c r="C105" i="1"/>
  <c r="C106" i="1"/>
  <c r="C107" i="1"/>
  <c r="C108" i="1"/>
  <c r="C109" i="1"/>
  <c r="C100" i="1"/>
  <c r="C95" i="1"/>
  <c r="B95" i="1" s="1"/>
  <c r="C96" i="1"/>
  <c r="B96" i="1" s="1"/>
  <c r="C94" i="1"/>
  <c r="B94" i="1" s="1"/>
  <c r="C89" i="1"/>
  <c r="C90" i="1"/>
  <c r="C91" i="1"/>
  <c r="C92" i="1"/>
  <c r="C93" i="1"/>
  <c r="C88" i="1"/>
  <c r="C76" i="1"/>
  <c r="C77" i="1"/>
  <c r="C78" i="1"/>
  <c r="C79" i="1"/>
  <c r="C80" i="1"/>
  <c r="C81" i="1"/>
  <c r="C82" i="1"/>
  <c r="C83" i="1"/>
  <c r="C84" i="1"/>
  <c r="C75" i="1"/>
  <c r="C63" i="1"/>
  <c r="C64" i="1"/>
  <c r="C65" i="1"/>
  <c r="C66" i="1"/>
  <c r="C67" i="1"/>
  <c r="C68" i="1"/>
  <c r="C69" i="1"/>
  <c r="C70" i="1"/>
  <c r="C71" i="1"/>
  <c r="C62" i="1"/>
  <c r="E50" i="1" l="1"/>
  <c r="E51" i="1"/>
  <c r="E52" i="1"/>
  <c r="E53" i="1"/>
  <c r="E54" i="1"/>
  <c r="E55" i="1"/>
  <c r="E56" i="1"/>
  <c r="E57" i="1"/>
  <c r="E58" i="1"/>
  <c r="E49" i="1"/>
  <c r="C45" i="1"/>
  <c r="B45" i="1" s="1"/>
  <c r="C39" i="1"/>
  <c r="C40" i="1"/>
  <c r="C41" i="1"/>
  <c r="C42" i="1"/>
  <c r="C43" i="1"/>
  <c r="C44" i="1"/>
  <c r="C38" i="1"/>
  <c r="D33" i="1" l="1"/>
  <c r="D34" i="1"/>
  <c r="D28" i="1"/>
  <c r="E28" i="1" s="1"/>
  <c r="D29" i="1"/>
  <c r="E29" i="1" s="1"/>
  <c r="D30" i="1"/>
  <c r="E30" i="1" s="1"/>
  <c r="D31" i="1"/>
  <c r="E31" i="1" s="1"/>
  <c r="D32" i="1"/>
  <c r="E32" i="1" s="1"/>
  <c r="D27" i="1"/>
  <c r="E33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27" i="1"/>
  <c r="C27" i="1" s="1"/>
  <c r="D16" i="1"/>
  <c r="E21" i="1" s="1"/>
  <c r="D17" i="1"/>
  <c r="E17" i="1" s="1"/>
  <c r="D18" i="1"/>
  <c r="D19" i="1"/>
  <c r="E19" i="1" s="1"/>
  <c r="D20" i="1"/>
  <c r="D21" i="1"/>
  <c r="D22" i="1"/>
  <c r="D23" i="1"/>
  <c r="E27" i="1" l="1"/>
  <c r="E34" i="1"/>
  <c r="E18" i="1"/>
  <c r="E22" i="1"/>
  <c r="E20" i="1"/>
  <c r="E16" i="1"/>
  <c r="E23" i="1"/>
  <c r="C4" i="1" l="1"/>
  <c r="C5" i="1"/>
  <c r="C6" i="1"/>
  <c r="C7" i="1"/>
  <c r="C8" i="1"/>
  <c r="C9" i="1"/>
  <c r="C10" i="1"/>
  <c r="C11" i="1"/>
  <c r="C12" i="1"/>
  <c r="C3" i="1"/>
</calcChain>
</file>

<file path=xl/sharedStrings.xml><?xml version="1.0" encoding="utf-8"?>
<sst xmlns="http://schemas.openxmlformats.org/spreadsheetml/2006/main" count="42" uniqueCount="22">
  <si>
    <t>离心式冷水机制冷COP随负荷率变化曲线</t>
    <phoneticPr fontId="1" type="noConversion"/>
  </si>
  <si>
    <t>负荷率</t>
    <phoneticPr fontId="2" type="noConversion"/>
  </si>
  <si>
    <t>COP</t>
    <phoneticPr fontId="2" type="noConversion"/>
  </si>
  <si>
    <t>COP变化率</t>
    <phoneticPr fontId="1" type="noConversion"/>
  </si>
  <si>
    <t>发电效率</t>
    <phoneticPr fontId="1" type="noConversion"/>
  </si>
  <si>
    <t>发电效率变化率</t>
    <phoneticPr fontId="1" type="noConversion"/>
  </si>
  <si>
    <t>余热效率</t>
    <phoneticPr fontId="1" type="noConversion"/>
  </si>
  <si>
    <t>余热效率变化率</t>
    <phoneticPr fontId="1" type="noConversion"/>
  </si>
  <si>
    <t>内燃机发电效率和余热效率</t>
    <phoneticPr fontId="1" type="noConversion"/>
  </si>
  <si>
    <t>烟气热水型溴化锂制冷COP和制热COP</t>
    <phoneticPr fontId="1" type="noConversion"/>
  </si>
  <si>
    <t>制冷COP</t>
    <phoneticPr fontId="1" type="noConversion"/>
  </si>
  <si>
    <t>制热COP</t>
    <phoneticPr fontId="1" type="noConversion"/>
  </si>
  <si>
    <t>制冷COP变化率</t>
    <phoneticPr fontId="1" type="noConversion"/>
  </si>
  <si>
    <t>制热COP变化率</t>
    <phoneticPr fontId="1" type="noConversion"/>
  </si>
  <si>
    <t>内燃机配套余热锅炉热效率</t>
    <phoneticPr fontId="1" type="noConversion"/>
  </si>
  <si>
    <t>制热效率</t>
    <phoneticPr fontId="1" type="noConversion"/>
  </si>
  <si>
    <t>制热效率变化率</t>
    <phoneticPr fontId="1" type="noConversion"/>
  </si>
  <si>
    <t>风冷螺杆式热泵制冷COP和制热COP</t>
    <phoneticPr fontId="1" type="noConversion"/>
  </si>
  <si>
    <t>离心式热泵制热COP</t>
    <phoneticPr fontId="1" type="noConversion"/>
  </si>
  <si>
    <t>天然气采暖锅炉</t>
    <phoneticPr fontId="1" type="noConversion"/>
  </si>
  <si>
    <t>直燃型溴化锂</t>
    <phoneticPr fontId="1" type="noConversion"/>
  </si>
  <si>
    <t>电采暖锅炉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</si>
</sst>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Sheet1!$A$3:$A$12</c:f>
              <c:numCache>
                <c:formatCode>General</c:formatCode>
                <c:ptCount val="10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</c:numCache>
            </c:numRef>
          </c:xVal>
          <c:yVal>
            <c:numRef>
              <c:f>Sheet1!$C$3:$C$12</c:f>
              <c:numCache>
                <c:formatCode>General</c:formatCode>
                <c:ptCount val="10"/>
                <c:pt idx="0">
                  <c:v>1</c:v>
                </c:pt>
                <c:pt idx="1">
                  <c:v>1.0692844677137869</c:v>
                </c:pt>
                <c:pt idx="2">
                  <c:v>1.2616055846422338</c:v>
                </c:pt>
                <c:pt idx="3">
                  <c:v>1.5506108202443278</c:v>
                </c:pt>
                <c:pt idx="4">
                  <c:v>1.8184991273996509</c:v>
                </c:pt>
                <c:pt idx="5">
                  <c:v>2.164048865619546</c:v>
                </c:pt>
                <c:pt idx="6">
                  <c:v>1.9581151832460733</c:v>
                </c:pt>
                <c:pt idx="7">
                  <c:v>1.7905759162303663</c:v>
                </c:pt>
                <c:pt idx="8">
                  <c:v>1.4767888307155321</c:v>
                </c:pt>
                <c:pt idx="9">
                  <c:v>0.82478184991273995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CD-074E-A9AF-A8C47D73B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218832"/>
        <c:axId val="599450656"/>
      </c:scatterChart>
      <c:valAx>
        <c:axId val="59921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9450656"/>
        <c:crosses val="autoZero"/>
        <c:crossBetween val="midCat"/>
      </c:valAx>
      <c:valAx>
        <c:axId val="59945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9218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7.1546369203849521E-3"/>
                  <c:y val="0.36278361038203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Sheet1!$A$8:$A$12</c:f>
              <c:numCache>
                <c:formatCode>General</c:formatCode>
                <c:ptCount val="5"/>
                <c:pt idx="0">
                  <c:v>0.5</c:v>
                </c:pt>
                <c:pt idx="1">
                  <c:v>0.4</c:v>
                </c:pt>
                <c:pt idx="2">
                  <c:v>0.3</c:v>
                </c:pt>
                <c:pt idx="3">
                  <c:v>0.2</c:v>
                </c:pt>
                <c:pt idx="4">
                  <c:v>0.1</c:v>
                </c:pt>
              </c:numCache>
            </c:numRef>
          </c:xVal>
          <c:yVal>
            <c:numRef>
              <c:f>Sheet1!$C$8:$C$12</c:f>
              <c:numCache>
                <c:formatCode>General</c:formatCode>
                <c:ptCount val="5"/>
                <c:pt idx="0">
                  <c:v>2.164048865619546</c:v>
                </c:pt>
                <c:pt idx="1">
                  <c:v>1.9581151832460733</c:v>
                </c:pt>
                <c:pt idx="2">
                  <c:v>1.7905759162303663</c:v>
                </c:pt>
                <c:pt idx="3">
                  <c:v>1.4767888307155321</c:v>
                </c:pt>
                <c:pt idx="4">
                  <c:v>0.82478184991273995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CF-AD45-9E8D-F8A40E621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686560"/>
        <c:axId val="599448288"/>
      </c:scatterChart>
      <c:valAx>
        <c:axId val="59968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9448288"/>
        <c:crosses val="autoZero"/>
        <c:crossBetween val="midCat"/>
      </c:valAx>
      <c:valAx>
        <c:axId val="59944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9686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13447419072615924"/>
                  <c:y val="8.1137357830271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Sheet1!$A$3:$A$8</c:f>
              <c:numCache>
                <c:formatCode>General</c:formatCode>
                <c:ptCount val="6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</c:numCache>
            </c:numRef>
          </c:xVal>
          <c:yVal>
            <c:numRef>
              <c:f>Sheet1!$C$3:$C$8</c:f>
              <c:numCache>
                <c:formatCode>General</c:formatCode>
                <c:ptCount val="6"/>
                <c:pt idx="0">
                  <c:v>1</c:v>
                </c:pt>
                <c:pt idx="1">
                  <c:v>1.0692844677137869</c:v>
                </c:pt>
                <c:pt idx="2">
                  <c:v>1.2616055846422338</c:v>
                </c:pt>
                <c:pt idx="3">
                  <c:v>1.5506108202443278</c:v>
                </c:pt>
                <c:pt idx="4">
                  <c:v>1.8184991273996509</c:v>
                </c:pt>
                <c:pt idx="5">
                  <c:v>2.164048865619546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C4-6E4A-90AD-AAFC0223B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040672"/>
        <c:axId val="621042304"/>
      </c:scatterChart>
      <c:valAx>
        <c:axId val="62104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1042304"/>
        <c:crosses val="autoZero"/>
        <c:crossBetween val="midCat"/>
      </c:valAx>
      <c:valAx>
        <c:axId val="62104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1040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发电效率变化率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layout>
                <c:manualLayout>
                  <c:x val="-2.4706955390375464E-2"/>
                  <c:y val="-3.52580900663168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Sheet1!$A$16:$A$23</c:f>
              <c:numCache>
                <c:formatCode>General</c:formatCode>
                <c:ptCount val="8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</c:numCache>
            </c:numRef>
          </c:xVal>
          <c:yVal>
            <c:numRef>
              <c:f>Sheet1!$C$16:$C$23</c:f>
              <c:numCache>
                <c:formatCode>0.000_ </c:formatCode>
                <c:ptCount val="8"/>
                <c:pt idx="0">
                  <c:v>1</c:v>
                </c:pt>
                <c:pt idx="1">
                  <c:v>0.99376083300000095</c:v>
                </c:pt>
                <c:pt idx="2">
                  <c:v>0.97866297600000196</c:v>
                </c:pt>
                <c:pt idx="3">
                  <c:v>0.96502615899999999</c:v>
                </c:pt>
                <c:pt idx="4">
                  <c:v>0.950900352</c:v>
                </c:pt>
                <c:pt idx="5">
                  <c:v>0.93017812499999997</c:v>
                </c:pt>
                <c:pt idx="6">
                  <c:v>0.90070700800000003</c:v>
                </c:pt>
                <c:pt idx="7">
                  <c:v>0.87240185100000001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BA-3844-B6B6-ACF54A649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838304"/>
        <c:axId val="633370192"/>
      </c:scatterChart>
      <c:valAx>
        <c:axId val="53783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3370192"/>
        <c:crosses val="autoZero"/>
        <c:crossBetween val="midCat"/>
      </c:valAx>
      <c:valAx>
        <c:axId val="63337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783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余热效率变化率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19794116101040654"/>
                  <c:y val="-7.041179482200808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Sheet1!$A$16:$A$23</c:f>
              <c:numCache>
                <c:formatCode>General</c:formatCode>
                <c:ptCount val="8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</c:numCache>
            </c:numRef>
          </c:xVal>
          <c:yVal>
            <c:numRef>
              <c:f>Sheet1!$E$16:$E$23</c:f>
              <c:numCache>
                <c:formatCode>General</c:formatCode>
                <c:ptCount val="8"/>
                <c:pt idx="0">
                  <c:v>1</c:v>
                </c:pt>
                <c:pt idx="1">
                  <c:v>1.0090517241379311</c:v>
                </c:pt>
                <c:pt idx="2">
                  <c:v>1.0198275862068966</c:v>
                </c:pt>
                <c:pt idx="3">
                  <c:v>1.0323275862068964</c:v>
                </c:pt>
                <c:pt idx="4">
                  <c:v>1.046551724137931</c:v>
                </c:pt>
                <c:pt idx="5">
                  <c:v>1.0625</c:v>
                </c:pt>
                <c:pt idx="6">
                  <c:v>1.0801724137931035</c:v>
                </c:pt>
                <c:pt idx="7">
                  <c:v>1.0995689655172411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B5-5C4F-8A86-548EADC84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066768"/>
        <c:axId val="710742576"/>
      </c:scatterChart>
      <c:valAx>
        <c:axId val="71006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0742576"/>
        <c:crosses val="autoZero"/>
        <c:crossBetween val="midCat"/>
      </c:valAx>
      <c:valAx>
        <c:axId val="71074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0066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制冷</a:t>
            </a:r>
            <a:r>
              <a:rPr lang="en-US" altLang="zh-CN"/>
              <a:t>COP</a:t>
            </a:r>
            <a:r>
              <a:rPr lang="zh-CN" altLang="en-US"/>
              <a:t>变化率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25667829021372329"/>
                  <c:y val="-9.79221810687435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Sheet1!$A$27:$A$34</c:f>
              <c:numCache>
                <c:formatCode>General</c:formatCode>
                <c:ptCount val="8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</c:numCache>
            </c:numRef>
          </c:xVal>
          <c:yVal>
            <c:numRef>
              <c:f>Sheet1!$C$27:$C$34</c:f>
              <c:numCache>
                <c:formatCode>General</c:formatCode>
                <c:ptCount val="8"/>
                <c:pt idx="0">
                  <c:v>1</c:v>
                </c:pt>
                <c:pt idx="1">
                  <c:v>1.016</c:v>
                </c:pt>
                <c:pt idx="2">
                  <c:v>1.0335238095238095</c:v>
                </c:pt>
                <c:pt idx="3">
                  <c:v>1.0525714285714285</c:v>
                </c:pt>
                <c:pt idx="4">
                  <c:v>1.0731428571428572</c:v>
                </c:pt>
                <c:pt idx="5">
                  <c:v>1.0952380952380951</c:v>
                </c:pt>
                <c:pt idx="6">
                  <c:v>1.1188571428571428</c:v>
                </c:pt>
                <c:pt idx="7">
                  <c:v>1.1439999999999999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8C-A443-A53B-BCBC4E2EA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826544"/>
        <c:axId val="615376064"/>
      </c:scatterChart>
      <c:valAx>
        <c:axId val="51782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5376064"/>
        <c:crosses val="autoZero"/>
        <c:crossBetween val="midCat"/>
      </c:valAx>
      <c:valAx>
        <c:axId val="61537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782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制热</a:t>
            </a:r>
            <a:r>
              <a:rPr lang="en-US" altLang="zh-CN"/>
              <a:t>COP</a:t>
            </a:r>
            <a:r>
              <a:rPr lang="zh-CN" altLang="en-US"/>
              <a:t>变化率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26369641294838148"/>
                  <c:y val="-0.131599591717701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Sheet1!$A$27:$A$34</c:f>
              <c:numCache>
                <c:formatCode>General</c:formatCode>
                <c:ptCount val="8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</c:numCache>
            </c:numRef>
          </c:xVal>
          <c:yVal>
            <c:numRef>
              <c:f>Sheet1!$E$27:$E$34</c:f>
              <c:numCache>
                <c:formatCode>General</c:formatCode>
                <c:ptCount val="8"/>
                <c:pt idx="0">
                  <c:v>1</c:v>
                </c:pt>
                <c:pt idx="1">
                  <c:v>1.0014166666666666</c:v>
                </c:pt>
                <c:pt idx="2">
                  <c:v>1.0031666666666668</c:v>
                </c:pt>
                <c:pt idx="3">
                  <c:v>1.00525</c:v>
                </c:pt>
                <c:pt idx="4">
                  <c:v>1.0076666666666667</c:v>
                </c:pt>
                <c:pt idx="5">
                  <c:v>1.0104166666666667</c:v>
                </c:pt>
                <c:pt idx="6">
                  <c:v>1.0135000000000001</c:v>
                </c:pt>
                <c:pt idx="7">
                  <c:v>1.0169166666666667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62-894C-A8AE-6002EA552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552032"/>
        <c:axId val="711088416"/>
      </c:scatterChart>
      <c:valAx>
        <c:axId val="75755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1088416"/>
        <c:crosses val="autoZero"/>
        <c:crossBetween val="midCat"/>
      </c:valAx>
      <c:valAx>
        <c:axId val="71108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7552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余热锅炉热效率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22893241469816272"/>
                  <c:y val="-0.191245261009040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Sheet1!$A$38:$A$45</c:f>
              <c:numCache>
                <c:formatCode>General</c:formatCode>
                <c:ptCount val="8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</c:numCache>
            </c:numRef>
          </c:xVal>
          <c:yVal>
            <c:numRef>
              <c:f>Sheet1!$C$38:$C$45</c:f>
              <c:numCache>
                <c:formatCode>General</c:formatCode>
                <c:ptCount val="8"/>
                <c:pt idx="0">
                  <c:v>1</c:v>
                </c:pt>
                <c:pt idx="1">
                  <c:v>1.0304243394715773</c:v>
                </c:pt>
                <c:pt idx="2">
                  <c:v>1.0549773151854818</c:v>
                </c:pt>
                <c:pt idx="3">
                  <c:v>1.0804643714971978</c:v>
                </c:pt>
                <c:pt idx="4">
                  <c:v>1.1050173472111022</c:v>
                </c:pt>
                <c:pt idx="5">
                  <c:v>1.1279690419001869</c:v>
                </c:pt>
                <c:pt idx="6">
                  <c:v>1.146917534027222</c:v>
                </c:pt>
                <c:pt idx="7">
                  <c:v>1.1663209999999999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4E-F746-AA66-843E966CC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990256"/>
        <c:axId val="645167696"/>
      </c:scatterChart>
      <c:valAx>
        <c:axId val="70999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5167696"/>
        <c:crosses val="autoZero"/>
        <c:crossBetween val="midCat"/>
      </c:valAx>
      <c:valAx>
        <c:axId val="64516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999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制冷</a:t>
            </a:r>
            <a:r>
              <a:rPr lang="en-US" altLang="zh-CN"/>
              <a:t>COPCOP</a:t>
            </a:r>
            <a:r>
              <a:rPr lang="zh-CN" altLang="en-US"/>
              <a:t>变化率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7.0592000941012534E-2"/>
                  <c:y val="0.153100010624489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Sheet1!$A$49:$A$58</c:f>
              <c:numCache>
                <c:formatCode>General</c:formatCode>
                <c:ptCount val="10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</c:numCache>
            </c:numRef>
          </c:xVal>
          <c:yVal>
            <c:numRef>
              <c:f>Sheet1!$C$49:$C$58</c:f>
              <c:numCache>
                <c:formatCode>General</c:formatCode>
                <c:ptCount val="10"/>
                <c:pt idx="0">
                  <c:v>1</c:v>
                </c:pt>
                <c:pt idx="1">
                  <c:v>1.2166342652413957</c:v>
                </c:pt>
                <c:pt idx="2">
                  <c:v>1.3775555033478208</c:v>
                </c:pt>
                <c:pt idx="3">
                  <c:v>1.4827637143192767</c:v>
                </c:pt>
                <c:pt idx="4">
                  <c:v>1.5322588981557617</c:v>
                </c:pt>
                <c:pt idx="5">
                  <c:v>1.5260410548572774</c:v>
                </c:pt>
                <c:pt idx="6">
                  <c:v>1.4641101844238225</c:v>
                </c:pt>
                <c:pt idx="7">
                  <c:v>1.3464662868553976</c:v>
                </c:pt>
                <c:pt idx="8">
                  <c:v>1.1731093621520028</c:v>
                </c:pt>
                <c:pt idx="9">
                  <c:v>0.94403941031363803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0-2E46-AF50-ED84008B7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702112"/>
        <c:axId val="705508816"/>
      </c:scatterChart>
      <c:valAx>
        <c:axId val="67070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5508816"/>
        <c:crosses val="autoZero"/>
        <c:crossBetween val="midCat"/>
      </c:valAx>
      <c:valAx>
        <c:axId val="70550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070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800" b="0" i="0" baseline="0">
                <a:effectLst/>
              </a:rPr>
              <a:t>制热</a:t>
            </a:r>
            <a:r>
              <a:rPr lang="en-US" altLang="zh-CN" sz="1800" b="0" i="0" baseline="0">
                <a:effectLst/>
              </a:rPr>
              <a:t>COP</a:t>
            </a:r>
            <a:r>
              <a:rPr lang="zh-CN" altLang="zh-CN" sz="1800" b="0" i="0" baseline="0">
                <a:effectLst/>
              </a:rPr>
              <a:t>变化率</a:t>
            </a:r>
            <a:endParaRPr lang="zh-CN" altLang="zh-CN">
              <a:effectLst/>
            </a:endParaRPr>
          </a:p>
        </c:rich>
      </c:tx>
      <c:layout>
        <c:manualLayout>
          <c:xMode val="edge"/>
          <c:yMode val="edge"/>
          <c:x val="0.21724866588196212"/>
          <c:y val="2.9247914071010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11288393317893375"/>
                  <c:y val="0.125564083100976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Sheet1!$A$49:$A$58</c:f>
              <c:numCache>
                <c:formatCode>General</c:formatCode>
                <c:ptCount val="10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</c:numCache>
            </c:numRef>
          </c:xVal>
          <c:yVal>
            <c:numRef>
              <c:f>Sheet1!$E$49:$E$58</c:f>
              <c:numCache>
                <c:formatCode>General</c:formatCode>
                <c:ptCount val="10"/>
                <c:pt idx="0">
                  <c:v>1</c:v>
                </c:pt>
                <c:pt idx="1">
                  <c:v>1.1927275997383913</c:v>
                </c:pt>
                <c:pt idx="2">
                  <c:v>1.3371039895356442</c:v>
                </c:pt>
                <c:pt idx="3">
                  <c:v>1.4331291693917594</c:v>
                </c:pt>
                <c:pt idx="4">
                  <c:v>1.4808031393067365</c:v>
                </c:pt>
                <c:pt idx="5">
                  <c:v>1.4801258992805757</c:v>
                </c:pt>
                <c:pt idx="6">
                  <c:v>1.4310974493132766</c:v>
                </c:pt>
                <c:pt idx="7">
                  <c:v>1.33371778940484</c:v>
                </c:pt>
                <c:pt idx="8">
                  <c:v>1.187986919555265</c:v>
                </c:pt>
                <c:pt idx="9">
                  <c:v>0.99390483976455202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AC-BA45-BB91-2D7212906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908512"/>
        <c:axId val="706117600"/>
      </c:scatterChart>
      <c:valAx>
        <c:axId val="66290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6117600"/>
        <c:crosses val="autoZero"/>
        <c:crossBetween val="midCat"/>
      </c:valAx>
      <c:valAx>
        <c:axId val="70611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290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制热</a:t>
            </a:r>
            <a:r>
              <a:rPr lang="en-US" altLang="zh-CN"/>
              <a:t>COP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6.0429966875947427E-2"/>
                  <c:y val="0.227113795486643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Sheet1!$A$62:$A$71</c:f>
              <c:numCache>
                <c:formatCode>General</c:formatCode>
                <c:ptCount val="10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</c:numCache>
            </c:numRef>
          </c:xVal>
          <c:yVal>
            <c:numRef>
              <c:f>Sheet1!$C$62:$C$71</c:f>
              <c:numCache>
                <c:formatCode>General</c:formatCode>
                <c:ptCount val="10"/>
                <c:pt idx="0">
                  <c:v>1</c:v>
                </c:pt>
                <c:pt idx="1">
                  <c:v>1.1469577080491131</c:v>
                </c:pt>
                <c:pt idx="2">
                  <c:v>1.2742155525238745</c:v>
                </c:pt>
                <c:pt idx="3">
                  <c:v>1.3690040927694407</c:v>
                </c:pt>
                <c:pt idx="4">
                  <c:v>1.4185538881309685</c:v>
                </c:pt>
                <c:pt idx="5">
                  <c:v>1.4100954979536153</c:v>
                </c:pt>
                <c:pt idx="6">
                  <c:v>1.3308594815825376</c:v>
                </c:pt>
                <c:pt idx="7">
                  <c:v>1.1680763983628921</c:v>
                </c:pt>
                <c:pt idx="8">
                  <c:v>0.90897680763983624</c:v>
                </c:pt>
                <c:pt idx="9">
                  <c:v>0.54079126875852657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0E-4043-BB82-D2DBD19BC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4325200"/>
        <c:axId val="644207392"/>
      </c:scatterChart>
      <c:valAx>
        <c:axId val="64432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4207392"/>
        <c:crosses val="autoZero"/>
        <c:crossBetween val="midCat"/>
      </c:valAx>
      <c:valAx>
        <c:axId val="64420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432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制热效率</a:t>
            </a:r>
          </a:p>
        </c:rich>
      </c:tx>
      <c:layout>
        <c:manualLayout>
          <c:xMode val="edge"/>
          <c:yMode val="edge"/>
          <c:x val="0.42717463980118103"/>
          <c:y val="1.938610908960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1"/>
            <c:trendlineLbl>
              <c:layout>
                <c:manualLayout>
                  <c:x val="-2.1233466636236754E-2"/>
                  <c:y val="-0.108117627888215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Sheet1!$A$75:$A$84</c:f>
              <c:numCache>
                <c:formatCode>General</c:formatCode>
                <c:ptCount val="10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</c:numCache>
            </c:numRef>
          </c:xVal>
          <c:yVal>
            <c:numRef>
              <c:f>Sheet1!$C$75:$C$84</c:f>
              <c:numCache>
                <c:formatCode>General</c:formatCode>
                <c:ptCount val="10"/>
                <c:pt idx="0">
                  <c:v>1</c:v>
                </c:pt>
                <c:pt idx="1">
                  <c:v>0.99470395085266394</c:v>
                </c:pt>
                <c:pt idx="2">
                  <c:v>0.97129541362143834</c:v>
                </c:pt>
                <c:pt idx="3">
                  <c:v>0.95328884652049573</c:v>
                </c:pt>
                <c:pt idx="4">
                  <c:v>0.93422306959008572</c:v>
                </c:pt>
                <c:pt idx="5">
                  <c:v>0.91621650248914299</c:v>
                </c:pt>
                <c:pt idx="6">
                  <c:v>0.89820993538820038</c:v>
                </c:pt>
                <c:pt idx="7">
                  <c:v>0.88020336828725765</c:v>
                </c:pt>
                <c:pt idx="8">
                  <c:v>0.86219680118631492</c:v>
                </c:pt>
                <c:pt idx="9">
                  <c:v>0.84313102425590514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1B-EF4A-B296-A7EF47BC7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492112"/>
        <c:axId val="644327024"/>
      </c:scatterChart>
      <c:valAx>
        <c:axId val="71249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4327024"/>
        <c:crosses val="autoZero"/>
        <c:crossBetween val="midCat"/>
      </c:valAx>
      <c:valAx>
        <c:axId val="64432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249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制冷</a:t>
            </a:r>
            <a:r>
              <a:rPr lang="en-US" altLang="zh-CN"/>
              <a:t>COP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0"/>
            <c:dispEq val="1"/>
            <c:trendlineLbl>
              <c:layout>
                <c:manualLayout>
                  <c:x val="3.5297462817147855E-3"/>
                  <c:y val="0.302704870224555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Sheet1!$A$88:$A$96</c:f>
              <c:numCache>
                <c:formatCode>General</c:formatCode>
                <c:ptCount val="9"/>
                <c:pt idx="0">
                  <c:v>1.2</c:v>
                </c:pt>
                <c:pt idx="1">
                  <c:v>1.1000000000000001</c:v>
                </c:pt>
                <c:pt idx="2">
                  <c:v>1</c:v>
                </c:pt>
                <c:pt idx="3">
                  <c:v>0.9</c:v>
                </c:pt>
                <c:pt idx="4">
                  <c:v>0.80000000000000104</c:v>
                </c:pt>
                <c:pt idx="5">
                  <c:v>0.70000000000000095</c:v>
                </c:pt>
                <c:pt idx="6">
                  <c:v>0.60000000000000098</c:v>
                </c:pt>
                <c:pt idx="7">
                  <c:v>0.500000000000001</c:v>
                </c:pt>
                <c:pt idx="8">
                  <c:v>0.40000000000000102</c:v>
                </c:pt>
              </c:numCache>
            </c:numRef>
          </c:xVal>
          <c:yVal>
            <c:numRef>
              <c:f>Sheet1!$C$88:$C$96</c:f>
              <c:numCache>
                <c:formatCode>General</c:formatCode>
                <c:ptCount val="9"/>
                <c:pt idx="0">
                  <c:v>1</c:v>
                </c:pt>
                <c:pt idx="1">
                  <c:v>0.99756394640682333</c:v>
                </c:pt>
                <c:pt idx="2">
                  <c:v>0.99390986601705478</c:v>
                </c:pt>
                <c:pt idx="3">
                  <c:v>0.98611449451887934</c:v>
                </c:pt>
                <c:pt idx="4">
                  <c:v>0.98026796589524956</c:v>
                </c:pt>
                <c:pt idx="5">
                  <c:v>0.97929354445798045</c:v>
                </c:pt>
                <c:pt idx="6">
                  <c:v>0.97077040000000547</c:v>
                </c:pt>
                <c:pt idx="7">
                  <c:v>0.91478750000000186</c:v>
                </c:pt>
                <c:pt idx="8">
                  <c:v>0.73161040000000366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9C-2F44-9267-059450F6C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4340352"/>
        <c:axId val="644535232"/>
      </c:scatterChart>
      <c:valAx>
        <c:axId val="64434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4535232"/>
        <c:crosses val="autoZero"/>
        <c:crossBetween val="midCat"/>
      </c:valAx>
      <c:valAx>
        <c:axId val="64453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4340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制热效率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2434733158355206"/>
                  <c:y val="7.42548848060659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Sheet1!$A$100:$A$109</c:f>
              <c:numCache>
                <c:formatCode>General</c:formatCode>
                <c:ptCount val="10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</c:numCache>
            </c:numRef>
          </c:xVal>
          <c:yVal>
            <c:numRef>
              <c:f>Sheet1!$C$100:$C$109</c:f>
              <c:numCache>
                <c:formatCode>General</c:formatCode>
                <c:ptCount val="10"/>
                <c:pt idx="0">
                  <c:v>1</c:v>
                </c:pt>
                <c:pt idx="1">
                  <c:v>0.99801734693877553</c:v>
                </c:pt>
                <c:pt idx="2">
                  <c:v>0.99603469387755106</c:v>
                </c:pt>
                <c:pt idx="3">
                  <c:v>0.99405204081632659</c:v>
                </c:pt>
                <c:pt idx="4">
                  <c:v>0.99206938775510201</c:v>
                </c:pt>
                <c:pt idx="5">
                  <c:v>0.99008673469387753</c:v>
                </c:pt>
                <c:pt idx="6">
                  <c:v>0.98810408163265306</c:v>
                </c:pt>
                <c:pt idx="7">
                  <c:v>0.98612142857142859</c:v>
                </c:pt>
                <c:pt idx="8">
                  <c:v>0.98413877551020412</c:v>
                </c:pt>
                <c:pt idx="9">
                  <c:v>0.98215612244897954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04-5B41-80D5-2B0A98E11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059456"/>
        <c:axId val="756346736"/>
      </c:scatterChart>
      <c:valAx>
        <c:axId val="76205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6346736"/>
        <c:crosses val="autoZero"/>
        <c:crossBetween val="midCat"/>
      </c:valAx>
      <c:valAx>
        <c:axId val="75634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2059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107950</xdr:colOff>
      <xdr:row>0</xdr:row>
      <xdr:rowOff>196850</xdr:rowOff>
    </xdr:from>
    <xdr:to>
      <xdr:col>8</xdr:col>
      <xdr:colOff>552450</xdr:colOff>
      <xdr:row>11</xdr:row>
      <xdr:rowOff>146050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4F15D77-B98F-CF45-B40C-AC1385A68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666750</xdr:colOff>
      <xdr:row>0</xdr:row>
      <xdr:rowOff>171450</xdr:rowOff>
    </xdr:from>
    <xdr:to>
      <xdr:col>14</xdr:col>
      <xdr:colOff>285750</xdr:colOff>
      <xdr:row>11</xdr:row>
      <xdr:rowOff>120650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278F0EB-4DC8-A849-8AED-ED157869C3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425450</xdr:colOff>
      <xdr:row>0</xdr:row>
      <xdr:rowOff>171450</xdr:rowOff>
    </xdr:from>
    <xdr:to>
      <xdr:col>20</xdr:col>
      <xdr:colOff>44450</xdr:colOff>
      <xdr:row>11</xdr:row>
      <xdr:rowOff>120650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D7C45BD-1BD5-B348-A70D-2322A518A6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217714</xdr:colOff>
      <xdr:row>13</xdr:row>
      <xdr:rowOff>39008</xdr:rowOff>
    </xdr:from>
    <xdr:to>
      <xdr:col>10</xdr:col>
      <xdr:colOff>362857</xdr:colOff>
      <xdr:row>22</xdr:row>
      <xdr:rowOff>208643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2B2C6AF4-D332-2F41-98B0-0C31A91AFA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476250</xdr:colOff>
      <xdr:row>12</xdr:row>
      <xdr:rowOff>238579</xdr:rowOff>
    </xdr:from>
    <xdr:to>
      <xdr:col>15</xdr:col>
      <xdr:colOff>362857</xdr:colOff>
      <xdr:row>22</xdr:row>
      <xdr:rowOff>108857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C4A3DA34-B28A-374E-B5BF-1528951D3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254000</xdr:colOff>
      <xdr:row>23</xdr:row>
      <xdr:rowOff>220436</xdr:rowOff>
    </xdr:from>
    <xdr:to>
      <xdr:col>10</xdr:col>
      <xdr:colOff>571500</xdr:colOff>
      <xdr:row>34</xdr:row>
      <xdr:rowOff>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95BE6F29-E4CF-0346-A6EB-CD2949491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703037</xdr:colOff>
      <xdr:row>23</xdr:row>
      <xdr:rowOff>243113</xdr:rowOff>
    </xdr:from>
    <xdr:to>
      <xdr:col>16</xdr:col>
      <xdr:colOff>81644</xdr:colOff>
      <xdr:row>33</xdr:row>
      <xdr:rowOff>199571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57AFAA11-B08E-014B-8545-A5A8C4226B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265870</xdr:colOff>
      <xdr:row>34</xdr:row>
      <xdr:rowOff>177325</xdr:rowOff>
    </xdr:from>
    <xdr:to>
      <xdr:col>10</xdr:col>
      <xdr:colOff>486636</xdr:colOff>
      <xdr:row>44</xdr:row>
      <xdr:rowOff>235856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FCDDE00E-CCA7-8549-B51C-E94BAD78B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127001</xdr:colOff>
      <xdr:row>47</xdr:row>
      <xdr:rowOff>34472</xdr:rowOff>
    </xdr:from>
    <xdr:to>
      <xdr:col>10</xdr:col>
      <xdr:colOff>408214</xdr:colOff>
      <xdr:row>57</xdr:row>
      <xdr:rowOff>154214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D98C5613-037E-7148-86C3-3C5B1ACE1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476250</xdr:colOff>
      <xdr:row>47</xdr:row>
      <xdr:rowOff>52615</xdr:rowOff>
    </xdr:from>
    <xdr:to>
      <xdr:col>15</xdr:col>
      <xdr:colOff>780142</xdr:colOff>
      <xdr:row>57</xdr:row>
      <xdr:rowOff>117929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684DD2C9-E0DD-7F47-A35E-1E497B0E59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164354</xdr:colOff>
      <xdr:row>60</xdr:row>
      <xdr:rowOff>245780</xdr:rowOff>
    </xdr:from>
    <xdr:to>
      <xdr:col>7</xdr:col>
      <xdr:colOff>687295</xdr:colOff>
      <xdr:row>70</xdr:row>
      <xdr:rowOff>201705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311A3961-F522-334B-91DB-49DF57675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116417</xdr:colOff>
      <xdr:row>73</xdr:row>
      <xdr:rowOff>67733</xdr:rowOff>
    </xdr:from>
    <xdr:to>
      <xdr:col>8</xdr:col>
      <xdr:colOff>804333</xdr:colOff>
      <xdr:row>83</xdr:row>
      <xdr:rowOff>148166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523453CC-EAFF-7B44-9EB1-9C10DF430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153525</xdr:colOff>
      <xdr:row>85</xdr:row>
      <xdr:rowOff>22988</xdr:rowOff>
    </xdr:from>
    <xdr:to>
      <xdr:col>8</xdr:col>
      <xdr:colOff>167994</xdr:colOff>
      <xdr:row>95</xdr:row>
      <xdr:rowOff>194036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D7270584-9608-3C4F-90D7-667971A10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346436</xdr:colOff>
      <xdr:row>97</xdr:row>
      <xdr:rowOff>223939</xdr:rowOff>
    </xdr:from>
    <xdr:to>
      <xdr:col>8</xdr:col>
      <xdr:colOff>360905</xdr:colOff>
      <xdr:row>108</xdr:row>
      <xdr:rowOff>137771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1B879C2D-D143-F245-92FE-0ADEC0F89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5875-A785-D543-8002-FCE867D1EFC1}">
  <dimension ref="A1:F109"/>
  <sheetViews>
    <sheetView tabSelected="1" topLeftCell="B46" zoomScale="158" zoomScaleNormal="180" workbookViewId="0">
      <selection activeCell="D51" sqref="D51"/>
    </sheetView>
  </sheetViews>
  <sheetFormatPr baseColWidth="10" defaultRowHeight="20" customHeight="1"/>
  <cols>
    <col min="1" max="2" width="10.83203125" style="2" customWidth="1"/>
    <col min="3" max="3" width="17.83203125" style="2" customWidth="1"/>
    <col min="4" max="4" width="10.83203125" style="2"/>
    <col min="5" max="5" width="16.33203125" style="2" bestFit="1" customWidth="1"/>
    <col min="6" max="6" width="10.83203125" style="2"/>
  </cols>
  <sheetData>
    <row r="1" spans="1:5" ht="20" customHeight="1">
      <c r="A1" s="6" t="s">
        <v>0</v>
      </c>
      <c r="B1" s="6"/>
      <c r="C1" s="6"/>
    </row>
    <row r="2" spans="1:5" ht="20" customHeight="1">
      <c r="A2" s="1" t="s">
        <v>1</v>
      </c>
      <c r="B2" s="1" t="s">
        <v>2</v>
      </c>
      <c r="C2" s="2" t="s">
        <v>3</v>
      </c>
    </row>
    <row r="3" spans="1:5" ht="20" customHeight="1">
      <c r="A3" s="2">
        <v>1</v>
      </c>
      <c r="B3" s="2">
        <v>5.73</v>
      </c>
      <c r="C3" s="2">
        <f>B3/$B$3</f>
        <v>1</v>
      </c>
    </row>
    <row r="4" spans="1:5" ht="20" customHeight="1">
      <c r="A4" s="2">
        <v>0.9</v>
      </c>
      <c r="B4" s="2">
        <v>6.1269999999999998</v>
      </c>
      <c r="C4" s="2">
        <f t="shared" ref="C4:C12" si="0">B4/$B$3</f>
        <v>1.0692844677137869</v>
      </c>
    </row>
    <row r="5" spans="1:5" ht="20" customHeight="1">
      <c r="A5" s="2">
        <v>0.8</v>
      </c>
      <c r="B5" s="2">
        <v>7.2290000000000001</v>
      </c>
      <c r="C5" s="2">
        <f t="shared" si="0"/>
        <v>1.2616055846422338</v>
      </c>
    </row>
    <row r="6" spans="1:5" ht="20" customHeight="1">
      <c r="A6" s="2">
        <v>0.7</v>
      </c>
      <c r="B6" s="2">
        <v>8.8849999999999998</v>
      </c>
      <c r="C6" s="2">
        <f t="shared" si="0"/>
        <v>1.5506108202443278</v>
      </c>
    </row>
    <row r="7" spans="1:5" ht="20" customHeight="1">
      <c r="A7" s="2">
        <v>0.6</v>
      </c>
      <c r="B7" s="2">
        <v>10.42</v>
      </c>
      <c r="C7" s="2">
        <f t="shared" si="0"/>
        <v>1.8184991273996509</v>
      </c>
    </row>
    <row r="8" spans="1:5" ht="20" customHeight="1">
      <c r="A8" s="2">
        <v>0.5</v>
      </c>
      <c r="B8" s="2">
        <v>12.4</v>
      </c>
      <c r="C8" s="2">
        <f t="shared" si="0"/>
        <v>2.164048865619546</v>
      </c>
    </row>
    <row r="9" spans="1:5" ht="20" customHeight="1">
      <c r="A9" s="2">
        <v>0.4</v>
      </c>
      <c r="B9" s="2">
        <v>11.22</v>
      </c>
      <c r="C9" s="2">
        <f t="shared" si="0"/>
        <v>1.9581151832460733</v>
      </c>
    </row>
    <row r="10" spans="1:5" ht="20" customHeight="1">
      <c r="A10" s="2">
        <v>0.3</v>
      </c>
      <c r="B10" s="2">
        <v>10.26</v>
      </c>
      <c r="C10" s="2">
        <f t="shared" si="0"/>
        <v>1.7905759162303663</v>
      </c>
    </row>
    <row r="11" spans="1:5" ht="20" customHeight="1">
      <c r="A11" s="2">
        <v>0.2</v>
      </c>
      <c r="B11" s="2">
        <v>8.4619999999999997</v>
      </c>
      <c r="C11" s="2">
        <f t="shared" si="0"/>
        <v>1.4767888307155321</v>
      </c>
    </row>
    <row r="12" spans="1:5" ht="20" customHeight="1">
      <c r="A12" s="2">
        <v>0.1</v>
      </c>
      <c r="B12" s="2">
        <v>4.726</v>
      </c>
      <c r="C12" s="2">
        <f t="shared" si="0"/>
        <v>0.82478184991273995</v>
      </c>
    </row>
    <row r="14" spans="1:5" ht="20" customHeight="1">
      <c r="A14" s="6" t="s">
        <v>8</v>
      </c>
      <c r="B14" s="6"/>
      <c r="C14" s="6"/>
      <c r="D14" s="6"/>
      <c r="E14" s="6"/>
    </row>
    <row r="15" spans="1:5" ht="20" customHeight="1">
      <c r="A15" s="1" t="s">
        <v>1</v>
      </c>
      <c r="B15" s="2" t="s">
        <v>4</v>
      </c>
      <c r="C15" s="2" t="s">
        <v>5</v>
      </c>
      <c r="D15" s="2" t="s">
        <v>6</v>
      </c>
      <c r="E15" s="2" t="s">
        <v>7</v>
      </c>
    </row>
    <row r="16" spans="1:5" ht="20" customHeight="1">
      <c r="A16" s="2">
        <v>1</v>
      </c>
      <c r="B16" s="4"/>
      <c r="C16" s="5">
        <v>1</v>
      </c>
      <c r="D16" s="4">
        <f t="shared" ref="D16:D19" si="1">0.04*A16*A16-0.118*A16+0.542</f>
        <v>0.46400000000000008</v>
      </c>
      <c r="E16" s="2">
        <f>D16/$D$16</f>
        <v>1</v>
      </c>
    </row>
    <row r="17" spans="1:5" ht="20" customHeight="1">
      <c r="A17" s="2">
        <v>0.9</v>
      </c>
      <c r="B17" s="4"/>
      <c r="C17" s="5">
        <v>0.99376083300000095</v>
      </c>
      <c r="D17" s="4">
        <f t="shared" si="1"/>
        <v>0.46820000000000006</v>
      </c>
      <c r="E17" s="2">
        <f t="shared" ref="E17:E23" si="2">D17/$D$16</f>
        <v>1.0090517241379311</v>
      </c>
    </row>
    <row r="18" spans="1:5" ht="20" customHeight="1">
      <c r="A18" s="2">
        <v>0.8</v>
      </c>
      <c r="B18" s="4"/>
      <c r="C18" s="5">
        <v>0.97866297600000196</v>
      </c>
      <c r="D18" s="4">
        <f t="shared" si="1"/>
        <v>0.47320000000000007</v>
      </c>
      <c r="E18" s="2">
        <f t="shared" si="2"/>
        <v>1.0198275862068966</v>
      </c>
    </row>
    <row r="19" spans="1:5" ht="20" customHeight="1">
      <c r="A19" s="2">
        <v>0.7</v>
      </c>
      <c r="B19" s="4"/>
      <c r="C19" s="5">
        <v>0.96502615899999999</v>
      </c>
      <c r="D19" s="4">
        <f t="shared" si="1"/>
        <v>0.47900000000000004</v>
      </c>
      <c r="E19" s="2">
        <f t="shared" si="2"/>
        <v>1.0323275862068964</v>
      </c>
    </row>
    <row r="20" spans="1:5" ht="20" customHeight="1">
      <c r="A20" s="2">
        <v>0.6</v>
      </c>
      <c r="B20" s="4"/>
      <c r="C20" s="5">
        <v>0.950900352</v>
      </c>
      <c r="D20" s="4">
        <f t="shared" ref="D20:D23" si="3">0.04*A20*A20-0.118*A20+0.542</f>
        <v>0.48560000000000003</v>
      </c>
      <c r="E20" s="2">
        <f t="shared" si="2"/>
        <v>1.046551724137931</v>
      </c>
    </row>
    <row r="21" spans="1:5" ht="20" customHeight="1">
      <c r="A21" s="2">
        <v>0.5</v>
      </c>
      <c r="B21" s="4"/>
      <c r="C21" s="5">
        <v>0.93017812499999997</v>
      </c>
      <c r="D21" s="4">
        <f t="shared" si="3"/>
        <v>0.49300000000000005</v>
      </c>
      <c r="E21" s="2">
        <f t="shared" si="2"/>
        <v>1.0625</v>
      </c>
    </row>
    <row r="22" spans="1:5" ht="20" customHeight="1">
      <c r="A22" s="2">
        <v>0.4</v>
      </c>
      <c r="B22" s="4"/>
      <c r="C22" s="5">
        <v>0.90070700800000003</v>
      </c>
      <c r="D22" s="4">
        <f t="shared" si="3"/>
        <v>0.50120000000000009</v>
      </c>
      <c r="E22" s="2">
        <f t="shared" si="2"/>
        <v>1.0801724137931035</v>
      </c>
    </row>
    <row r="23" spans="1:5" ht="20" customHeight="1">
      <c r="A23" s="2">
        <v>0.3</v>
      </c>
      <c r="B23" s="4"/>
      <c r="C23" s="5">
        <v>0.87240185100000001</v>
      </c>
      <c r="D23" s="4">
        <f t="shared" si="3"/>
        <v>0.51019999999999999</v>
      </c>
      <c r="E23" s="2">
        <f t="shared" si="2"/>
        <v>1.0995689655172411</v>
      </c>
    </row>
    <row r="25" spans="1:5" ht="20" customHeight="1">
      <c r="A25" s="6" t="s">
        <v>9</v>
      </c>
      <c r="B25" s="6"/>
      <c r="C25" s="6"/>
      <c r="D25" s="6"/>
      <c r="E25" s="6"/>
    </row>
    <row r="26" spans="1:5" ht="20" customHeight="1">
      <c r="A26" s="1" t="s">
        <v>1</v>
      </c>
      <c r="B26" s="2" t="s">
        <v>10</v>
      </c>
      <c r="C26" s="2" t="s">
        <v>12</v>
      </c>
      <c r="D26" s="2" t="s">
        <v>11</v>
      </c>
      <c r="E26" s="2" t="s">
        <v>13</v>
      </c>
    </row>
    <row r="27" spans="1:5" ht="20" customHeight="1">
      <c r="A27" s="2">
        <v>1</v>
      </c>
      <c r="B27" s="2">
        <f>0.08*A27*A27-0.32*A27+1.29</f>
        <v>1.05</v>
      </c>
      <c r="C27" s="2">
        <f>B27/$B$27</f>
        <v>1</v>
      </c>
      <c r="D27" s="2">
        <f>0.016*A27*A27-0.044*A27+0.988</f>
        <v>0.96</v>
      </c>
      <c r="E27" s="2">
        <f>D27/$D$27</f>
        <v>1</v>
      </c>
    </row>
    <row r="28" spans="1:5" ht="20" customHeight="1">
      <c r="A28" s="2">
        <v>0.9</v>
      </c>
      <c r="B28" s="2">
        <f t="shared" ref="B28:B34" si="4">0.08*A28*A28-0.32*A28+1.29</f>
        <v>1.0668</v>
      </c>
      <c r="C28" s="2">
        <f t="shared" ref="C28:C34" si="5">B28/$B$27</f>
        <v>1.016</v>
      </c>
      <c r="D28" s="2">
        <f t="shared" ref="D28:D34" si="6">0.016*A28*A28-0.044*A28+0.988</f>
        <v>0.96135999999999999</v>
      </c>
      <c r="E28" s="2">
        <f t="shared" ref="E28:E34" si="7">D28/$D$27</f>
        <v>1.0014166666666666</v>
      </c>
    </row>
    <row r="29" spans="1:5" ht="20" customHeight="1">
      <c r="A29" s="2">
        <v>0.8</v>
      </c>
      <c r="B29" s="2">
        <f t="shared" si="4"/>
        <v>1.0851999999999999</v>
      </c>
      <c r="C29" s="2">
        <f t="shared" si="5"/>
        <v>1.0335238095238095</v>
      </c>
      <c r="D29" s="2">
        <f t="shared" si="6"/>
        <v>0.96304000000000001</v>
      </c>
      <c r="E29" s="2">
        <f t="shared" si="7"/>
        <v>1.0031666666666668</v>
      </c>
    </row>
    <row r="30" spans="1:5" ht="20" customHeight="1">
      <c r="A30" s="2">
        <v>0.7</v>
      </c>
      <c r="B30" s="2">
        <f t="shared" si="4"/>
        <v>1.1052</v>
      </c>
      <c r="C30" s="2">
        <f t="shared" si="5"/>
        <v>1.0525714285714285</v>
      </c>
      <c r="D30" s="2">
        <f t="shared" si="6"/>
        <v>0.96504000000000001</v>
      </c>
      <c r="E30" s="2">
        <f t="shared" si="7"/>
        <v>1.00525</v>
      </c>
    </row>
    <row r="31" spans="1:5" ht="20" customHeight="1">
      <c r="A31" s="2">
        <v>0.6</v>
      </c>
      <c r="B31" s="2">
        <f t="shared" si="4"/>
        <v>1.1268</v>
      </c>
      <c r="C31" s="2">
        <f t="shared" si="5"/>
        <v>1.0731428571428572</v>
      </c>
      <c r="D31" s="2">
        <f t="shared" si="6"/>
        <v>0.96736</v>
      </c>
      <c r="E31" s="2">
        <f t="shared" si="7"/>
        <v>1.0076666666666667</v>
      </c>
    </row>
    <row r="32" spans="1:5" ht="20" customHeight="1">
      <c r="A32" s="2">
        <v>0.5</v>
      </c>
      <c r="B32" s="2">
        <f t="shared" si="4"/>
        <v>1.1499999999999999</v>
      </c>
      <c r="C32" s="2">
        <f t="shared" si="5"/>
        <v>1.0952380952380951</v>
      </c>
      <c r="D32" s="2">
        <f t="shared" si="6"/>
        <v>0.97</v>
      </c>
      <c r="E32" s="2">
        <f t="shared" si="7"/>
        <v>1.0104166666666667</v>
      </c>
    </row>
    <row r="33" spans="1:5" ht="20" customHeight="1">
      <c r="A33" s="2">
        <v>0.4</v>
      </c>
      <c r="B33" s="2">
        <f t="shared" si="4"/>
        <v>1.1748000000000001</v>
      </c>
      <c r="C33" s="2">
        <f t="shared" si="5"/>
        <v>1.1188571428571428</v>
      </c>
      <c r="D33" s="2">
        <f t="shared" si="6"/>
        <v>0.97295999999999994</v>
      </c>
      <c r="E33" s="2">
        <f t="shared" si="7"/>
        <v>1.0135000000000001</v>
      </c>
    </row>
    <row r="34" spans="1:5" ht="20" customHeight="1">
      <c r="A34" s="2">
        <v>0.3</v>
      </c>
      <c r="B34" s="2">
        <f t="shared" si="4"/>
        <v>1.2012</v>
      </c>
      <c r="C34" s="2">
        <f t="shared" si="5"/>
        <v>1.1439999999999999</v>
      </c>
      <c r="D34" s="2">
        <f t="shared" si="6"/>
        <v>0.97624</v>
      </c>
      <c r="E34" s="2">
        <f t="shared" si="7"/>
        <v>1.0169166666666667</v>
      </c>
    </row>
    <row r="36" spans="1:5" ht="20" customHeight="1">
      <c r="A36" s="6" t="s">
        <v>14</v>
      </c>
      <c r="B36" s="6"/>
      <c r="C36" s="6"/>
    </row>
    <row r="37" spans="1:5" ht="20" customHeight="1">
      <c r="A37" s="1" t="s">
        <v>1</v>
      </c>
      <c r="B37" s="2" t="s">
        <v>15</v>
      </c>
      <c r="C37" s="2" t="s">
        <v>16</v>
      </c>
    </row>
    <row r="38" spans="1:5" ht="20" customHeight="1">
      <c r="A38" s="2">
        <v>1</v>
      </c>
      <c r="B38" s="2">
        <v>0.74939999999999996</v>
      </c>
      <c r="C38" s="2">
        <f>B38/$B$38</f>
        <v>1</v>
      </c>
    </row>
    <row r="39" spans="1:5" ht="20" customHeight="1">
      <c r="A39" s="2">
        <v>0.9</v>
      </c>
      <c r="B39" s="2">
        <v>0.7722</v>
      </c>
      <c r="C39" s="2">
        <f t="shared" ref="C39:C44" si="8">B39/$B$38</f>
        <v>1.0304243394715773</v>
      </c>
    </row>
    <row r="40" spans="1:5" ht="20" customHeight="1">
      <c r="A40" s="2">
        <v>0.8</v>
      </c>
      <c r="B40" s="2">
        <v>0.79059999999999997</v>
      </c>
      <c r="C40" s="2">
        <f t="shared" si="8"/>
        <v>1.0549773151854818</v>
      </c>
    </row>
    <row r="41" spans="1:5" ht="20" customHeight="1">
      <c r="A41" s="2">
        <v>0.7</v>
      </c>
      <c r="B41" s="2">
        <v>0.80969999999999998</v>
      </c>
      <c r="C41" s="2">
        <f t="shared" si="8"/>
        <v>1.0804643714971978</v>
      </c>
    </row>
    <row r="42" spans="1:5" ht="20" customHeight="1">
      <c r="A42" s="2">
        <v>0.6</v>
      </c>
      <c r="B42" s="2">
        <v>0.82809999999999995</v>
      </c>
      <c r="C42" s="2">
        <f t="shared" si="8"/>
        <v>1.1050173472111022</v>
      </c>
    </row>
    <row r="43" spans="1:5" ht="20" customHeight="1">
      <c r="A43" s="2">
        <v>0.5</v>
      </c>
      <c r="B43" s="2">
        <v>0.84530000000000005</v>
      </c>
      <c r="C43" s="2">
        <f t="shared" si="8"/>
        <v>1.1279690419001869</v>
      </c>
    </row>
    <row r="44" spans="1:5" ht="20" customHeight="1">
      <c r="A44" s="2">
        <v>0.4</v>
      </c>
      <c r="B44" s="2">
        <v>0.85950000000000004</v>
      </c>
      <c r="C44" s="2">
        <f t="shared" si="8"/>
        <v>1.146917534027222</v>
      </c>
    </row>
    <row r="45" spans="1:5" ht="20" customHeight="1">
      <c r="A45" s="2">
        <v>0.3</v>
      </c>
      <c r="B45" s="2">
        <f>B38*C45</f>
        <v>0.87404095739999987</v>
      </c>
      <c r="C45" s="2">
        <f>-0.0801*A45*A45-0.1329*A45+1.2134</f>
        <v>1.1663209999999999</v>
      </c>
    </row>
    <row r="47" spans="1:5" ht="20" customHeight="1">
      <c r="A47" s="6" t="s">
        <v>17</v>
      </c>
      <c r="B47" s="6"/>
      <c r="C47" s="6"/>
      <c r="D47" s="6"/>
      <c r="E47" s="6"/>
    </row>
    <row r="48" spans="1:5" ht="20" customHeight="1">
      <c r="A48" s="1" t="s">
        <v>1</v>
      </c>
      <c r="B48" s="2" t="s">
        <v>10</v>
      </c>
      <c r="C48" s="2" t="s">
        <v>12</v>
      </c>
      <c r="D48" s="2" t="s">
        <v>11</v>
      </c>
      <c r="E48" s="2" t="s">
        <v>13</v>
      </c>
    </row>
    <row r="49" spans="1:5" ht="20" customHeight="1">
      <c r="A49" s="2">
        <v>1</v>
      </c>
      <c r="B49" s="2">
        <v>3.4051999999999998</v>
      </c>
      <c r="C49" s="2">
        <f>B49/$B$49</f>
        <v>1</v>
      </c>
      <c r="D49" s="2">
        <v>3.0579999999999998</v>
      </c>
      <c r="E49" s="2">
        <f>D49/$D$49</f>
        <v>1</v>
      </c>
    </row>
    <row r="50" spans="1:5" ht="20" customHeight="1">
      <c r="A50" s="2">
        <v>0.9</v>
      </c>
      <c r="B50" s="2">
        <v>4.1428830000000003</v>
      </c>
      <c r="C50" s="2">
        <f t="shared" ref="C50:C58" si="9">B50/$B$49</f>
        <v>1.2166342652413957</v>
      </c>
      <c r="D50" s="2">
        <v>3.6473610000000001</v>
      </c>
      <c r="E50" s="2">
        <f t="shared" ref="E50:E58" si="10">D50/$D$49</f>
        <v>1.1927275997383913</v>
      </c>
    </row>
    <row r="51" spans="1:5" ht="20" customHeight="1">
      <c r="A51" s="2">
        <v>0.8</v>
      </c>
      <c r="B51" s="2">
        <v>4.6908519999999996</v>
      </c>
      <c r="C51" s="2">
        <f t="shared" si="9"/>
        <v>1.3775555033478208</v>
      </c>
      <c r="D51" s="2">
        <v>4.0888640000000001</v>
      </c>
      <c r="E51" s="2">
        <f t="shared" si="10"/>
        <v>1.3371039895356442</v>
      </c>
    </row>
    <row r="52" spans="1:5" ht="20" customHeight="1">
      <c r="A52" s="2">
        <v>0.7</v>
      </c>
      <c r="B52" s="2">
        <v>5.0491070000000002</v>
      </c>
      <c r="C52" s="2">
        <f t="shared" si="9"/>
        <v>1.4827637143192767</v>
      </c>
      <c r="D52" s="2">
        <v>4.3825089999999998</v>
      </c>
      <c r="E52" s="2">
        <f t="shared" si="10"/>
        <v>1.4331291693917594</v>
      </c>
    </row>
    <row r="53" spans="1:5" ht="20" customHeight="1">
      <c r="A53" s="2">
        <v>0.6</v>
      </c>
      <c r="B53" s="2">
        <v>5.2176479999999996</v>
      </c>
      <c r="C53" s="2">
        <f t="shared" si="9"/>
        <v>1.5322588981557617</v>
      </c>
      <c r="D53" s="2">
        <v>4.5282960000000001</v>
      </c>
      <c r="E53" s="2">
        <f t="shared" si="10"/>
        <v>1.4808031393067365</v>
      </c>
    </row>
    <row r="54" spans="1:5" ht="20" customHeight="1">
      <c r="A54" s="2">
        <v>0.5</v>
      </c>
      <c r="B54" s="2">
        <v>5.1964750000000004</v>
      </c>
      <c r="C54" s="2">
        <f t="shared" si="9"/>
        <v>1.5260410548572774</v>
      </c>
      <c r="D54" s="2">
        <v>4.5262250000000002</v>
      </c>
      <c r="E54" s="2">
        <f t="shared" si="10"/>
        <v>1.4801258992805757</v>
      </c>
    </row>
    <row r="55" spans="1:5" ht="20" customHeight="1">
      <c r="A55" s="2">
        <v>0.4</v>
      </c>
      <c r="B55" s="2">
        <v>4.9855879999999999</v>
      </c>
      <c r="C55" s="2">
        <f t="shared" si="9"/>
        <v>1.4641101844238225</v>
      </c>
      <c r="D55" s="2">
        <v>4.376296</v>
      </c>
      <c r="E55" s="2">
        <f t="shared" si="10"/>
        <v>1.4310974493132766</v>
      </c>
    </row>
    <row r="56" spans="1:5" ht="20" customHeight="1">
      <c r="A56" s="2">
        <v>0.3</v>
      </c>
      <c r="B56" s="2">
        <v>4.5849869999999999</v>
      </c>
      <c r="C56" s="2">
        <f t="shared" si="9"/>
        <v>1.3464662868553976</v>
      </c>
      <c r="D56" s="2">
        <v>4.0785090000000004</v>
      </c>
      <c r="E56" s="2">
        <f t="shared" si="10"/>
        <v>1.33371778940484</v>
      </c>
    </row>
    <row r="57" spans="1:5" ht="20" customHeight="1">
      <c r="A57" s="2">
        <v>0.2</v>
      </c>
      <c r="B57" s="2">
        <v>3.994672</v>
      </c>
      <c r="C57" s="2">
        <f t="shared" si="9"/>
        <v>1.1731093621520028</v>
      </c>
      <c r="D57" s="2">
        <v>3.6328640000000001</v>
      </c>
      <c r="E57" s="2">
        <f t="shared" si="10"/>
        <v>1.187986919555265</v>
      </c>
    </row>
    <row r="58" spans="1:5" ht="20" customHeight="1">
      <c r="A58" s="2">
        <v>0.1</v>
      </c>
      <c r="B58" s="2">
        <v>3.2146430000000001</v>
      </c>
      <c r="C58" s="2">
        <f t="shared" si="9"/>
        <v>0.94403941031363803</v>
      </c>
      <c r="D58" s="2">
        <v>3.039361</v>
      </c>
      <c r="E58" s="2">
        <f t="shared" si="10"/>
        <v>0.99390483976455202</v>
      </c>
    </row>
    <row r="60" spans="1:5" ht="20" customHeight="1">
      <c r="A60" s="6" t="s">
        <v>18</v>
      </c>
      <c r="B60" s="6"/>
      <c r="C60" s="6"/>
      <c r="D60" s="3"/>
      <c r="E60" s="3"/>
    </row>
    <row r="61" spans="1:5" ht="20" customHeight="1">
      <c r="A61" s="1" t="s">
        <v>1</v>
      </c>
      <c r="B61" s="2" t="s">
        <v>11</v>
      </c>
      <c r="C61" s="2" t="s">
        <v>13</v>
      </c>
    </row>
    <row r="62" spans="1:5" ht="20" customHeight="1">
      <c r="A62" s="2">
        <v>1</v>
      </c>
      <c r="B62" s="2">
        <v>3.665</v>
      </c>
      <c r="C62" s="2">
        <f>B62/$B$62</f>
        <v>1</v>
      </c>
    </row>
    <row r="63" spans="1:5" ht="20" customHeight="1">
      <c r="A63" s="2">
        <v>0.9</v>
      </c>
      <c r="B63" s="2">
        <v>4.2035999999999998</v>
      </c>
      <c r="C63" s="2">
        <f t="shared" ref="C63:C71" si="11">B63/$B$62</f>
        <v>1.1469577080491131</v>
      </c>
    </row>
    <row r="64" spans="1:5" ht="20" customHeight="1">
      <c r="A64" s="2">
        <v>0.8</v>
      </c>
      <c r="B64" s="2">
        <v>4.67</v>
      </c>
      <c r="C64" s="2">
        <f t="shared" si="11"/>
        <v>1.2742155525238745</v>
      </c>
    </row>
    <row r="65" spans="1:3" ht="20" customHeight="1">
      <c r="A65" s="2">
        <v>0.7</v>
      </c>
      <c r="B65" s="2">
        <v>5.0174000000000003</v>
      </c>
      <c r="C65" s="2">
        <f t="shared" si="11"/>
        <v>1.3690040927694407</v>
      </c>
    </row>
    <row r="66" spans="1:3" ht="20" customHeight="1">
      <c r="A66" s="2">
        <v>0.6</v>
      </c>
      <c r="B66" s="2">
        <v>5.1989999999999998</v>
      </c>
      <c r="C66" s="2">
        <f t="shared" si="11"/>
        <v>1.4185538881309685</v>
      </c>
    </row>
    <row r="67" spans="1:3" ht="20" customHeight="1">
      <c r="A67" s="2">
        <v>0.5</v>
      </c>
      <c r="B67" s="2">
        <v>5.1680000000000001</v>
      </c>
      <c r="C67" s="2">
        <f t="shared" si="11"/>
        <v>1.4100954979536153</v>
      </c>
    </row>
    <row r="68" spans="1:3" ht="20" customHeight="1">
      <c r="A68" s="2">
        <v>0.4</v>
      </c>
      <c r="B68" s="2">
        <v>4.8776000000000002</v>
      </c>
      <c r="C68" s="2">
        <f t="shared" si="11"/>
        <v>1.3308594815825376</v>
      </c>
    </row>
    <row r="69" spans="1:3" ht="20" customHeight="1">
      <c r="A69" s="2">
        <v>0.3</v>
      </c>
      <c r="B69" s="2">
        <v>4.2809999999999997</v>
      </c>
      <c r="C69" s="2">
        <f t="shared" si="11"/>
        <v>1.1680763983628921</v>
      </c>
    </row>
    <row r="70" spans="1:3" ht="20" customHeight="1">
      <c r="A70" s="2">
        <v>0.2</v>
      </c>
      <c r="B70" s="2">
        <v>3.3313999999999999</v>
      </c>
      <c r="C70" s="2">
        <f t="shared" si="11"/>
        <v>0.90897680763983624</v>
      </c>
    </row>
    <row r="71" spans="1:3" ht="20" customHeight="1">
      <c r="A71" s="2">
        <v>0.1</v>
      </c>
      <c r="B71" s="2">
        <v>1.982</v>
      </c>
      <c r="C71" s="2">
        <f t="shared" si="11"/>
        <v>0.54079126875852657</v>
      </c>
    </row>
    <row r="73" spans="1:3" ht="20" customHeight="1">
      <c r="A73" s="6" t="s">
        <v>19</v>
      </c>
      <c r="B73" s="6"/>
      <c r="C73" s="6"/>
    </row>
    <row r="74" spans="1:3" ht="20" customHeight="1">
      <c r="A74" s="1" t="s">
        <v>1</v>
      </c>
      <c r="B74" s="2" t="s">
        <v>15</v>
      </c>
      <c r="C74" s="2" t="s">
        <v>16</v>
      </c>
    </row>
    <row r="75" spans="1:3" ht="20" customHeight="1">
      <c r="A75" s="2">
        <v>1</v>
      </c>
      <c r="B75" s="2">
        <v>0.94410000000000005</v>
      </c>
      <c r="C75" s="2">
        <f>B75/$B$75</f>
        <v>1</v>
      </c>
    </row>
    <row r="76" spans="1:3" ht="20" customHeight="1">
      <c r="A76" s="2">
        <v>0.9</v>
      </c>
      <c r="B76" s="2">
        <v>0.93910000000000005</v>
      </c>
      <c r="C76" s="2">
        <f t="shared" ref="C76:C84" si="12">B76/$B$75</f>
        <v>0.99470395085266394</v>
      </c>
    </row>
    <row r="77" spans="1:3" ht="20" customHeight="1">
      <c r="A77" s="2">
        <v>0.8</v>
      </c>
      <c r="B77" s="2">
        <v>0.91700000000000004</v>
      </c>
      <c r="C77" s="2">
        <f t="shared" si="12"/>
        <v>0.97129541362143834</v>
      </c>
    </row>
    <row r="78" spans="1:3" ht="20" customHeight="1">
      <c r="A78" s="2">
        <v>0.7</v>
      </c>
      <c r="B78" s="2">
        <v>0.9</v>
      </c>
      <c r="C78" s="2">
        <f t="shared" si="12"/>
        <v>0.95328884652049573</v>
      </c>
    </row>
    <row r="79" spans="1:3" ht="20" customHeight="1">
      <c r="A79" s="2">
        <v>0.6</v>
      </c>
      <c r="B79" s="2">
        <v>0.88200000000000001</v>
      </c>
      <c r="C79" s="2">
        <f t="shared" si="12"/>
        <v>0.93422306959008572</v>
      </c>
    </row>
    <row r="80" spans="1:3" ht="20" customHeight="1">
      <c r="A80" s="2">
        <v>0.5</v>
      </c>
      <c r="B80" s="2">
        <v>0.86499999999999999</v>
      </c>
      <c r="C80" s="2">
        <f t="shared" si="12"/>
        <v>0.91621650248914299</v>
      </c>
    </row>
    <row r="81" spans="1:3" ht="20" customHeight="1">
      <c r="A81" s="2">
        <v>0.4</v>
      </c>
      <c r="B81" s="2">
        <v>0.84799999999999998</v>
      </c>
      <c r="C81" s="2">
        <f t="shared" si="12"/>
        <v>0.89820993538820038</v>
      </c>
    </row>
    <row r="82" spans="1:3" ht="20" customHeight="1">
      <c r="A82" s="2">
        <v>0.3</v>
      </c>
      <c r="B82" s="2">
        <v>0.83099999999999996</v>
      </c>
      <c r="C82" s="2">
        <f t="shared" si="12"/>
        <v>0.88020336828725765</v>
      </c>
    </row>
    <row r="83" spans="1:3" ht="20" customHeight="1">
      <c r="A83" s="2">
        <v>0.2</v>
      </c>
      <c r="B83" s="2">
        <v>0.81399999999999995</v>
      </c>
      <c r="C83" s="2">
        <f t="shared" si="12"/>
        <v>0.86219680118631492</v>
      </c>
    </row>
    <row r="84" spans="1:3" ht="20" customHeight="1">
      <c r="A84" s="2">
        <v>0.1</v>
      </c>
      <c r="B84" s="2">
        <v>0.79600000000000004</v>
      </c>
      <c r="C84" s="2">
        <f t="shared" si="12"/>
        <v>0.84313102425590514</v>
      </c>
    </row>
    <row r="86" spans="1:3" ht="20" customHeight="1">
      <c r="A86" s="6" t="s">
        <v>20</v>
      </c>
      <c r="B86" s="6"/>
      <c r="C86" s="6"/>
    </row>
    <row r="87" spans="1:3" ht="20" customHeight="1">
      <c r="A87" s="1" t="s">
        <v>1</v>
      </c>
      <c r="B87" s="2" t="s">
        <v>10</v>
      </c>
      <c r="C87" s="2" t="s">
        <v>12</v>
      </c>
    </row>
    <row r="88" spans="1:3" ht="20" customHeight="1">
      <c r="A88" s="2">
        <v>1.2</v>
      </c>
      <c r="B88" s="2">
        <v>1.3683333333333301</v>
      </c>
      <c r="C88" s="2">
        <f>B88/$B$88</f>
        <v>1</v>
      </c>
    </row>
    <row r="89" spans="1:3" ht="20" customHeight="1">
      <c r="A89" s="2">
        <v>1.1000000000000001</v>
      </c>
      <c r="B89" s="2">
        <v>1.365</v>
      </c>
      <c r="C89" s="2">
        <f t="shared" ref="C89:C93" si="13">B89/$B$88</f>
        <v>0.99756394640682333</v>
      </c>
    </row>
    <row r="90" spans="1:3" ht="20" customHeight="1">
      <c r="A90" s="2">
        <v>1</v>
      </c>
      <c r="B90" s="2">
        <v>1.36</v>
      </c>
      <c r="C90" s="2">
        <f t="shared" si="13"/>
        <v>0.99390986601705478</v>
      </c>
    </row>
    <row r="91" spans="1:3" ht="20" customHeight="1">
      <c r="A91" s="2">
        <v>0.9</v>
      </c>
      <c r="B91" s="2">
        <v>1.3493333333333299</v>
      </c>
      <c r="C91" s="2">
        <f t="shared" si="13"/>
        <v>0.98611449451887934</v>
      </c>
    </row>
    <row r="92" spans="1:3" ht="20" customHeight="1">
      <c r="A92" s="2">
        <v>0.80000000000000104</v>
      </c>
      <c r="B92" s="2">
        <v>1.3413333333333299</v>
      </c>
      <c r="C92" s="2">
        <f t="shared" si="13"/>
        <v>0.98026796589524956</v>
      </c>
    </row>
    <row r="93" spans="1:3" ht="20" customHeight="1">
      <c r="A93" s="2">
        <v>0.70000000000000095</v>
      </c>
      <c r="B93" s="2">
        <v>1.34</v>
      </c>
      <c r="C93" s="2">
        <f t="shared" si="13"/>
        <v>0.97929354445798045</v>
      </c>
    </row>
    <row r="94" spans="1:3" ht="20" customHeight="1">
      <c r="A94" s="2">
        <v>0.60000000000000098</v>
      </c>
      <c r="B94" s="2">
        <f>$B$88*C94</f>
        <v>1.3283374973333377</v>
      </c>
      <c r="C94" s="2">
        <f>10.15*A94^5-46.996*A94^4+85.708*A94^3-76.899*A94^2+33.968*A94-4.9379</f>
        <v>0.97077040000000547</v>
      </c>
    </row>
    <row r="95" spans="1:3" ht="20" customHeight="1">
      <c r="A95" s="2">
        <v>0.500000000000001</v>
      </c>
      <c r="B95" s="2">
        <f t="shared" ref="B95:B96" si="14">$B$88*C95</f>
        <v>1.2517342291666662</v>
      </c>
      <c r="C95" s="2">
        <f t="shared" ref="C95:C96" si="15">10.15*A95^5-46.996*A95^4+85.708*A95^3-76.899*A95^2+33.968*A95-4.9379</f>
        <v>0.91478750000000186</v>
      </c>
    </row>
    <row r="96" spans="1:3" ht="20" customHeight="1">
      <c r="A96" s="2">
        <v>0.40000000000000102</v>
      </c>
      <c r="B96" s="2">
        <f t="shared" si="14"/>
        <v>1.001086897333336</v>
      </c>
      <c r="C96" s="2">
        <f t="shared" si="15"/>
        <v>0.73161040000000366</v>
      </c>
    </row>
    <row r="98" spans="1:3" ht="20" customHeight="1">
      <c r="A98" s="6" t="s">
        <v>21</v>
      </c>
      <c r="B98" s="6"/>
      <c r="C98" s="6"/>
    </row>
    <row r="99" spans="1:3" ht="20" customHeight="1">
      <c r="A99" s="1" t="s">
        <v>1</v>
      </c>
      <c r="B99" s="2" t="s">
        <v>15</v>
      </c>
      <c r="C99" s="2" t="s">
        <v>16</v>
      </c>
    </row>
    <row r="100" spans="1:3" ht="20" customHeight="1">
      <c r="A100" s="2">
        <v>1</v>
      </c>
      <c r="B100" s="2">
        <v>0.98</v>
      </c>
      <c r="C100" s="2">
        <f>B100/$B$100</f>
        <v>1</v>
      </c>
    </row>
    <row r="101" spans="1:3" ht="20" customHeight="1">
      <c r="A101" s="2">
        <v>0.9</v>
      </c>
      <c r="B101" s="2">
        <v>0.97805699999999995</v>
      </c>
      <c r="C101" s="2">
        <f t="shared" ref="C101:C109" si="16">B101/$B$100</f>
        <v>0.99801734693877553</v>
      </c>
    </row>
    <row r="102" spans="1:3" ht="20" customHeight="1">
      <c r="A102" s="2">
        <v>0.8</v>
      </c>
      <c r="B102" s="2">
        <v>0.97611400000000004</v>
      </c>
      <c r="C102" s="2">
        <f t="shared" si="16"/>
        <v>0.99603469387755106</v>
      </c>
    </row>
    <row r="103" spans="1:3" ht="20" customHeight="1">
      <c r="A103" s="2">
        <v>0.7</v>
      </c>
      <c r="B103" s="2">
        <v>0.97417100000000001</v>
      </c>
      <c r="C103" s="2">
        <f t="shared" si="16"/>
        <v>0.99405204081632659</v>
      </c>
    </row>
    <row r="104" spans="1:3" ht="20" customHeight="1">
      <c r="A104" s="2">
        <v>0.6</v>
      </c>
      <c r="B104" s="2">
        <v>0.97222799999999998</v>
      </c>
      <c r="C104" s="2">
        <f t="shared" si="16"/>
        <v>0.99206938775510201</v>
      </c>
    </row>
    <row r="105" spans="1:3" ht="20" customHeight="1">
      <c r="A105" s="2">
        <v>0.5</v>
      </c>
      <c r="B105" s="2">
        <v>0.97028499999999995</v>
      </c>
      <c r="C105" s="2">
        <f t="shared" si="16"/>
        <v>0.99008673469387753</v>
      </c>
    </row>
    <row r="106" spans="1:3" ht="20" customHeight="1">
      <c r="A106" s="2">
        <v>0.4</v>
      </c>
      <c r="B106" s="2">
        <v>0.96834200000000004</v>
      </c>
      <c r="C106" s="2">
        <f t="shared" si="16"/>
        <v>0.98810408163265306</v>
      </c>
    </row>
    <row r="107" spans="1:3" ht="20" customHeight="1">
      <c r="A107" s="2">
        <v>0.3</v>
      </c>
      <c r="B107" s="2">
        <v>0.96639900000000001</v>
      </c>
      <c r="C107" s="2">
        <f t="shared" si="16"/>
        <v>0.98612142857142859</v>
      </c>
    </row>
    <row r="108" spans="1:3" ht="20" customHeight="1">
      <c r="A108" s="2">
        <v>0.2</v>
      </c>
      <c r="B108" s="2">
        <v>0.96445599999999998</v>
      </c>
      <c r="C108" s="2">
        <f t="shared" si="16"/>
        <v>0.98413877551020412</v>
      </c>
    </row>
    <row r="109" spans="1:3" ht="20" customHeight="1">
      <c r="A109" s="2">
        <v>0.1</v>
      </c>
      <c r="B109" s="2">
        <v>0.96251299999999995</v>
      </c>
      <c r="C109" s="2">
        <f t="shared" si="16"/>
        <v>0.98215612244897954</v>
      </c>
    </row>
  </sheetData>
  <mergeCells count="9">
    <mergeCell ref="A1:C1"/>
    <mergeCell ref="A14:E14"/>
    <mergeCell ref="A25:E25"/>
    <mergeCell ref="A36:C36"/>
    <mergeCell ref="A47:E47"/>
    <mergeCell ref="A60:C60"/>
    <mergeCell ref="A73:C73"/>
    <mergeCell ref="A86:C86"/>
    <mergeCell ref="A98:C98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ChenJuncheng</dc:creator>
  <cp:lastModifiedBy>ChenJuncheng</cp:lastModifiedBy>
  <dcterms:created xsi:type="dcterms:W3CDTF">2020-07-04T01:37:12Z</dcterms:created>
  <dcterms:modified xsi:type="dcterms:W3CDTF">2020-07-14T12:31:28Z</dcterms:modified>
</cp:coreProperties>
</file>